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Flex" sheetId="1" r:id="rId5"/>
    <sheet state="visible" name="Project" sheetId="2" r:id="rId6"/>
    <sheet state="visible" name="Other" sheetId="3" r:id="rId7"/>
    <sheet state="visible" name="Clients w MSAs" sheetId="4" r:id="rId8"/>
  </sheets>
  <definedNames/>
  <calcPr/>
</workbook>
</file>

<file path=xl/sharedStrings.xml><?xml version="1.0" encoding="utf-8"?>
<sst xmlns="http://schemas.openxmlformats.org/spreadsheetml/2006/main" count="37" uniqueCount="27">
  <si>
    <t>Hours</t>
  </si>
  <si>
    <t>Monthly Cost</t>
  </si>
  <si>
    <t>Monthly</t>
  </si>
  <si>
    <t>3 Months</t>
  </si>
  <si>
    <t>6 Months</t>
  </si>
  <si>
    <t>12 Months</t>
  </si>
  <si>
    <t>24 Months</t>
  </si>
  <si>
    <t>Monthly Recurring Services (Flex Hour Retainer)</t>
  </si>
  <si>
    <t>% Discount</t>
  </si>
  <si>
    <t>3 mo.</t>
  </si>
  <si>
    <t>6 mo.</t>
  </si>
  <si>
    <t>12 mo.</t>
  </si>
  <si>
    <t>24 mo.</t>
  </si>
  <si>
    <t>Monthly Hours</t>
  </si>
  <si>
    <t>Projects</t>
  </si>
  <si>
    <t>Cost</t>
  </si>
  <si>
    <t>Total Project Hours (spread across 6 Months)</t>
  </si>
  <si>
    <t>Total Cost (Monthly Cost x 6 Months)</t>
  </si>
  <si>
    <t>Client Code</t>
  </si>
  <si>
    <t>Client</t>
  </si>
  <si>
    <t>Expiration Date</t>
  </si>
  <si>
    <t>Link to PandaDoc Template</t>
  </si>
  <si>
    <t>Link to MSA</t>
  </si>
  <si>
    <t>Ormco</t>
  </si>
  <si>
    <t>Canon</t>
  </si>
  <si>
    <t>Mississippi State</t>
  </si>
  <si>
    <t>Edwards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</si>
</sst>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sz val="16.0"/>
      <color theme="1"/>
      <name val="Arial"/>
      <scheme val="minor"/>
    </font>
    <font>
      <sz val="16.0"/>
      <color rgb="FFFFFFFF"/>
      <name val="Calibri"/>
    </font>
    <font/>
    <font>
      <sz val="16.0"/>
      <color rgb="FF000000"/>
      <name val="Calibri"/>
    </font>
    <font>
      <sz val="12.0"/>
      <color rgb="FF000000"/>
      <name val="Calibri"/>
    </font>
    <font>
      <sz val="16.0"/>
      <color rgb="FF002060"/>
      <name val="Calibri"/>
    </font>
    <font>
      <sz val="14.0"/>
      <color rgb="FFFFFFFF"/>
      <name val="Calibri"/>
    </font>
    <font>
      <sz val="11.0"/>
      <color rgb="FFFFFFFF"/>
      <name val="Calibri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B1A0C7"/>
        <bgColor rgb="FFB1A0C7"/>
      </patternFill>
    </fill>
    <fill>
      <patternFill patternType="solid">
        <fgColor rgb="FF002060"/>
        <bgColor rgb="FF002060"/>
      </patternFill>
    </fill>
    <fill>
      <patternFill patternType="solid">
        <fgColor rgb="FF60497A"/>
        <bgColor rgb="FF60497A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4BACC6"/>
        <bgColor rgb="FF4BACC6"/>
      </patternFill>
    </fill>
    <fill>
      <patternFill patternType="solid">
        <fgColor rgb="FFDAEEF3"/>
        <bgColor rgb="FFDAEEF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5" fillId="6" fontId="4" numFmtId="0" xfId="0" applyAlignment="1" applyBorder="1" applyFill="1" applyFont="1">
      <alignment horizontal="center" readingOrder="0" shrinkToFit="0" vertical="center" wrapText="0"/>
    </xf>
    <xf borderId="1" fillId="7" fontId="4" numFmtId="164" xfId="0" applyAlignment="1" applyBorder="1" applyFill="1" applyFont="1" applyNumberFormat="1">
      <alignment readingOrder="0" shrinkToFit="0" vertical="bottom" wrapText="0"/>
    </xf>
    <xf borderId="1" fillId="0" fontId="4" numFmtId="164" xfId="0" applyAlignment="1" applyBorder="1" applyFont="1" applyNumberFormat="1">
      <alignment readingOrder="0" shrinkToFit="0" vertical="bottom" wrapText="0"/>
    </xf>
    <xf borderId="6" fillId="0" fontId="3" numFmtId="0" xfId="0" applyBorder="1" applyFont="1"/>
    <xf borderId="1" fillId="7" fontId="5" numFmtId="10" xfId="0" applyAlignment="1" applyBorder="1" applyFont="1" applyNumberFormat="1">
      <alignment readingOrder="0" shrinkToFit="0" vertical="bottom" wrapText="0"/>
    </xf>
    <xf borderId="1" fillId="0" fontId="5" numFmtId="10" xfId="0" applyAlignment="1" applyBorder="1" applyFont="1" applyNumberFormat="1">
      <alignment readingOrder="0" shrinkToFit="0" vertical="bottom" wrapText="0"/>
    </xf>
    <xf borderId="2" fillId="8" fontId="2" numFmtId="0" xfId="0" applyAlignment="1" applyBorder="1" applyFill="1" applyFont="1">
      <alignment horizontal="center" readingOrder="0" shrinkToFit="0" vertical="bottom" wrapText="0"/>
    </xf>
    <xf borderId="1" fillId="9" fontId="2" numFmtId="0" xfId="0" applyAlignment="1" applyBorder="1" applyFill="1" applyFont="1">
      <alignment horizontal="center" readingOrder="0"/>
    </xf>
    <xf borderId="4" fillId="9" fontId="2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 readingOrder="0"/>
    </xf>
    <xf borderId="6" fillId="4" fontId="2" numFmtId="0" xfId="0" applyAlignment="1" applyBorder="1" applyFont="1">
      <alignment horizontal="center" readingOrder="0"/>
    </xf>
    <xf borderId="7" fillId="4" fontId="6" numFmtId="0" xfId="0" applyAlignment="1" applyBorder="1" applyFont="1">
      <alignment horizontal="center" readingOrder="0" shrinkToFit="0" wrapText="0"/>
    </xf>
    <xf borderId="7" fillId="5" fontId="2" numFmtId="0" xfId="0" applyAlignment="1" applyBorder="1" applyFont="1">
      <alignment horizontal="center" readingOrder="0"/>
    </xf>
    <xf borderId="6" fillId="6" fontId="4" numFmtId="0" xfId="0" applyAlignment="1" applyBorder="1" applyFont="1">
      <alignment horizontal="center" readingOrder="0" shrinkToFit="0" wrapText="0"/>
    </xf>
    <xf borderId="7" fillId="0" fontId="4" numFmtId="9" xfId="0" applyAlignment="1" applyBorder="1" applyFont="1" applyNumberFormat="1">
      <alignment horizontal="center" readingOrder="0" shrinkToFit="0" wrapText="0"/>
    </xf>
    <xf borderId="7" fillId="0" fontId="4" numFmtId="164" xfId="0" applyAlignment="1" applyBorder="1" applyFont="1" applyNumberFormat="1">
      <alignment readingOrder="0" shrinkToFit="0" vertical="bottom" wrapText="0"/>
    </xf>
    <xf borderId="2" fillId="10" fontId="7" numFmtId="0" xfId="0" applyAlignment="1" applyBorder="1" applyFill="1" applyFont="1">
      <alignment horizontal="center" readingOrder="0" shrinkToFit="0" wrapText="0"/>
    </xf>
    <xf borderId="2" fillId="2" fontId="8" numFmtId="0" xfId="0" applyAlignment="1" applyBorder="1" applyFont="1">
      <alignment horizontal="center" readingOrder="0"/>
    </xf>
    <xf borderId="2" fillId="3" fontId="8" numFmtId="0" xfId="0" applyAlignment="1" applyBorder="1" applyFont="1">
      <alignment horizontal="center" readingOrder="0"/>
    </xf>
    <xf borderId="0" fillId="0" fontId="9" numFmtId="0" xfId="0" applyAlignment="1" applyFont="1">
      <alignment shrinkToFit="0" wrapText="1"/>
    </xf>
    <xf borderId="1" fillId="4" fontId="8" numFmtId="0" xfId="0" applyAlignment="1" applyBorder="1" applyFont="1">
      <alignment horizontal="center" readingOrder="0" shrinkToFit="0" wrapText="1"/>
    </xf>
    <xf borderId="1" fillId="5" fontId="8" numFmtId="0" xfId="0" applyAlignment="1" applyBorder="1" applyFont="1">
      <alignment horizontal="center" readingOrder="0" shrinkToFit="0" wrapText="1"/>
    </xf>
    <xf borderId="5" fillId="0" fontId="4" numFmtId="0" xfId="0" applyAlignment="1" applyBorder="1" applyFont="1">
      <alignment horizontal="center" readingOrder="0" shrinkToFit="0" vertical="center" wrapText="0"/>
    </xf>
    <xf borderId="2" fillId="0" fontId="5" numFmtId="10" xfId="0" applyAlignment="1" applyBorder="1" applyFont="1" applyNumberFormat="1">
      <alignment horizontal="center" readingOrder="0" shrinkToFit="0" vertical="center" wrapText="0"/>
    </xf>
    <xf borderId="5" fillId="11" fontId="4" numFmtId="0" xfId="0" applyAlignment="1" applyBorder="1" applyFill="1" applyFont="1">
      <alignment horizontal="center" readingOrder="0" shrinkToFit="0" vertical="center" wrapText="0"/>
    </xf>
    <xf borderId="1" fillId="11" fontId="4" numFmtId="164" xfId="0" applyAlignment="1" applyBorder="1" applyFont="1" applyNumberFormat="1">
      <alignment readingOrder="0" shrinkToFit="0" vertical="bottom" wrapText="0"/>
    </xf>
    <xf borderId="2" fillId="11" fontId="5" numFmtId="10" xfId="0" applyAlignment="1" applyBorder="1" applyFont="1" applyNumberFormat="1">
      <alignment horizontal="center" readingOrder="0" shrinkToFit="0" vertical="center" wrapText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6" width="16.25"/>
    <col customWidth="1" min="7" max="7" width="6.25"/>
    <col customWidth="1" min="8" max="12" width="1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 t="s">
        <v>1</v>
      </c>
      <c r="D2" s="4"/>
      <c r="E2" s="4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>
        <v>10.0</v>
      </c>
      <c r="C4" s="9">
        <f t="shared" ref="C4:F4" si="1">I40</f>
        <v>1500</v>
      </c>
      <c r="D4" s="9">
        <f t="shared" si="1"/>
        <v>1500</v>
      </c>
      <c r="E4" s="10">
        <f t="shared" si="1"/>
        <v>1440</v>
      </c>
      <c r="F4" s="10">
        <f t="shared" si="1"/>
        <v>1400</v>
      </c>
      <c r="G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/>
      <c r="C5" s="12">
        <f t="shared" ref="C5:F5" si="2">C40</f>
        <v>0</v>
      </c>
      <c r="D5" s="12">
        <f t="shared" si="2"/>
        <v>0</v>
      </c>
      <c r="E5" s="13">
        <f t="shared" si="2"/>
        <v>0.06</v>
      </c>
      <c r="F5" s="13">
        <f t="shared" si="2"/>
        <v>0.1</v>
      </c>
      <c r="G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>
        <v>15.0</v>
      </c>
      <c r="C6" s="9">
        <f t="shared" ref="C6:F6" si="3">I41</f>
        <v>2250</v>
      </c>
      <c r="D6" s="10">
        <f t="shared" si="3"/>
        <v>2205</v>
      </c>
      <c r="E6" s="10">
        <f t="shared" si="3"/>
        <v>2130</v>
      </c>
      <c r="F6" s="10">
        <f t="shared" si="3"/>
        <v>2085</v>
      </c>
      <c r="G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/>
      <c r="C7" s="12">
        <f t="shared" ref="C7:F7" si="4">C41</f>
        <v>0</v>
      </c>
      <c r="D7" s="13">
        <f t="shared" si="4"/>
        <v>0.03</v>
      </c>
      <c r="E7" s="13">
        <f t="shared" si="4"/>
        <v>0.08</v>
      </c>
      <c r="F7" s="13">
        <f t="shared" si="4"/>
        <v>0.11</v>
      </c>
      <c r="G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>
        <v>20.0</v>
      </c>
      <c r="C8" s="9">
        <f t="shared" ref="C8:F8" si="5">I42</f>
        <v>3000</v>
      </c>
      <c r="D8" s="10">
        <f t="shared" si="5"/>
        <v>2920</v>
      </c>
      <c r="E8" s="10">
        <f t="shared" si="5"/>
        <v>2800</v>
      </c>
      <c r="F8" s="10">
        <f t="shared" si="5"/>
        <v>2760</v>
      </c>
      <c r="G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"/>
      <c r="C9" s="12">
        <f t="shared" ref="C9:F9" si="6">C42</f>
        <v>0</v>
      </c>
      <c r="D9" s="13">
        <f t="shared" si="6"/>
        <v>0.04</v>
      </c>
      <c r="E9" s="13">
        <f t="shared" si="6"/>
        <v>0.1</v>
      </c>
      <c r="F9" s="13">
        <f t="shared" si="6"/>
        <v>0.12</v>
      </c>
      <c r="G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>
        <v>25.0</v>
      </c>
      <c r="C10" s="9">
        <f t="shared" ref="C10:F10" si="7">I43</f>
        <v>3750</v>
      </c>
      <c r="D10" s="10">
        <f t="shared" si="7"/>
        <v>3625</v>
      </c>
      <c r="E10" s="10">
        <f t="shared" si="7"/>
        <v>3450</v>
      </c>
      <c r="F10" s="10">
        <f t="shared" si="7"/>
        <v>3400</v>
      </c>
      <c r="G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/>
      <c r="C11" s="12">
        <f t="shared" ref="C11:F11" si="8">C43</f>
        <v>0</v>
      </c>
      <c r="D11" s="13">
        <f t="shared" si="8"/>
        <v>0.05</v>
      </c>
      <c r="E11" s="13">
        <f t="shared" si="8"/>
        <v>0.12</v>
      </c>
      <c r="F11" s="13">
        <f t="shared" si="8"/>
        <v>0.14</v>
      </c>
      <c r="G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">
        <v>30.0</v>
      </c>
      <c r="C12" s="10">
        <f t="shared" ref="C12:F12" si="9">I44</f>
        <v>4380</v>
      </c>
      <c r="D12" s="10">
        <f t="shared" si="9"/>
        <v>4320</v>
      </c>
      <c r="E12" s="10">
        <f t="shared" si="9"/>
        <v>4080</v>
      </c>
      <c r="F12" s="10">
        <f t="shared" si="9"/>
        <v>4020</v>
      </c>
      <c r="G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/>
      <c r="C13" s="13">
        <f t="shared" ref="C13:F13" si="10">C44</f>
        <v>0.04</v>
      </c>
      <c r="D13" s="13">
        <f t="shared" si="10"/>
        <v>0.06</v>
      </c>
      <c r="E13" s="13">
        <f t="shared" si="10"/>
        <v>0.14</v>
      </c>
      <c r="F13" s="13">
        <f t="shared" si="10"/>
        <v>0.16</v>
      </c>
      <c r="G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">
        <v>40.0</v>
      </c>
      <c r="C14" s="10">
        <f t="shared" ref="C14:F14" si="11">I45</f>
        <v>5760</v>
      </c>
      <c r="D14" s="10">
        <f t="shared" si="11"/>
        <v>5680</v>
      </c>
      <c r="E14" s="10">
        <f t="shared" si="11"/>
        <v>5360</v>
      </c>
      <c r="F14" s="10">
        <f t="shared" si="11"/>
        <v>5280</v>
      </c>
      <c r="G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/>
      <c r="C15" s="13">
        <f t="shared" ref="C15:F15" si="12">C45</f>
        <v>0.06</v>
      </c>
      <c r="D15" s="13">
        <f t="shared" si="12"/>
        <v>0.08</v>
      </c>
      <c r="E15" s="13">
        <f t="shared" si="12"/>
        <v>0.16</v>
      </c>
      <c r="F15" s="13">
        <f t="shared" si="12"/>
        <v>0.18</v>
      </c>
      <c r="G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">
        <v>50.0</v>
      </c>
      <c r="C16" s="10">
        <f t="shared" ref="C16:F16" si="13">I46</f>
        <v>7100</v>
      </c>
      <c r="D16" s="10">
        <f t="shared" si="13"/>
        <v>7000</v>
      </c>
      <c r="E16" s="10">
        <f t="shared" si="13"/>
        <v>6500</v>
      </c>
      <c r="F16" s="10">
        <f t="shared" si="13"/>
        <v>6400</v>
      </c>
      <c r="G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/>
      <c r="C17" s="13">
        <f t="shared" ref="C17:F17" si="14">C46</f>
        <v>0.08</v>
      </c>
      <c r="D17" s="13">
        <f t="shared" si="14"/>
        <v>0.1</v>
      </c>
      <c r="E17" s="13">
        <f t="shared" si="14"/>
        <v>0.2</v>
      </c>
      <c r="F17" s="13">
        <f t="shared" si="14"/>
        <v>0.22</v>
      </c>
      <c r="G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">
        <v>60.0</v>
      </c>
      <c r="C18" s="10">
        <f t="shared" ref="C18:F18" si="15">I47</f>
        <v>8400</v>
      </c>
      <c r="D18" s="10">
        <f t="shared" si="15"/>
        <v>8280</v>
      </c>
      <c r="E18" s="10">
        <f t="shared" si="15"/>
        <v>7800</v>
      </c>
      <c r="F18" s="10">
        <f t="shared" si="15"/>
        <v>7680</v>
      </c>
      <c r="G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1"/>
      <c r="C19" s="13">
        <f t="shared" ref="C19:F19" si="16">C47</f>
        <v>0.1</v>
      </c>
      <c r="D19" s="13">
        <f t="shared" si="16"/>
        <v>0.12</v>
      </c>
      <c r="E19" s="13">
        <f t="shared" si="16"/>
        <v>0.2</v>
      </c>
      <c r="F19" s="13">
        <f t="shared" si="16"/>
        <v>0.22</v>
      </c>
      <c r="G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">
        <v>80.0</v>
      </c>
      <c r="C20" s="10">
        <f t="shared" ref="C20:F20" si="17">I48</f>
        <v>11200</v>
      </c>
      <c r="D20" s="10">
        <f t="shared" si="17"/>
        <v>11040</v>
      </c>
      <c r="E20" s="10">
        <f t="shared" si="17"/>
        <v>10400</v>
      </c>
      <c r="F20" s="10">
        <f t="shared" si="17"/>
        <v>10240</v>
      </c>
      <c r="G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/>
      <c r="C21" s="13">
        <f t="shared" ref="C21:F21" si="18">C48</f>
        <v>0.1</v>
      </c>
      <c r="D21" s="13">
        <f t="shared" si="18"/>
        <v>0.12</v>
      </c>
      <c r="E21" s="13">
        <f t="shared" si="18"/>
        <v>0.2</v>
      </c>
      <c r="F21" s="13">
        <f t="shared" si="18"/>
        <v>0.22</v>
      </c>
      <c r="G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8">
        <v>100.0</v>
      </c>
      <c r="C22" s="10">
        <f t="shared" ref="C22:F22" si="19">I49</f>
        <v>14000</v>
      </c>
      <c r="D22" s="10">
        <f t="shared" si="19"/>
        <v>13600</v>
      </c>
      <c r="E22" s="10">
        <f t="shared" si="19"/>
        <v>13000</v>
      </c>
      <c r="F22" s="10">
        <f t="shared" si="19"/>
        <v>12800</v>
      </c>
      <c r="G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1"/>
      <c r="C23" s="13">
        <f t="shared" ref="C23:F23" si="20">C49</f>
        <v>0.1</v>
      </c>
      <c r="D23" s="13">
        <f t="shared" si="20"/>
        <v>0.14</v>
      </c>
      <c r="E23" s="13">
        <f t="shared" si="20"/>
        <v>0.2</v>
      </c>
      <c r="F23" s="13">
        <f t="shared" si="20"/>
        <v>0.22</v>
      </c>
      <c r="G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8">
        <v>120.0</v>
      </c>
      <c r="C24" s="10">
        <f t="shared" ref="C24:F24" si="21">I50</f>
        <v>16800</v>
      </c>
      <c r="D24" s="10">
        <f t="shared" si="21"/>
        <v>16320</v>
      </c>
      <c r="E24" s="10">
        <f t="shared" si="21"/>
        <v>15600</v>
      </c>
      <c r="F24" s="10">
        <f t="shared" si="21"/>
        <v>15360</v>
      </c>
      <c r="G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1"/>
      <c r="C25" s="13">
        <f t="shared" ref="C25:F25" si="22">C50</f>
        <v>0.1</v>
      </c>
      <c r="D25" s="13">
        <f t="shared" si="22"/>
        <v>0.14</v>
      </c>
      <c r="E25" s="13">
        <f t="shared" si="22"/>
        <v>0.2</v>
      </c>
      <c r="F25" s="13">
        <f t="shared" si="22"/>
        <v>0.22</v>
      </c>
      <c r="G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8">
        <v>140.0</v>
      </c>
      <c r="C26" s="10">
        <f t="shared" ref="C26:F26" si="23">I51</f>
        <v>19600</v>
      </c>
      <c r="D26" s="10">
        <f t="shared" si="23"/>
        <v>19040</v>
      </c>
      <c r="E26" s="10">
        <f t="shared" si="23"/>
        <v>18200</v>
      </c>
      <c r="F26" s="10">
        <f t="shared" si="23"/>
        <v>17920</v>
      </c>
      <c r="G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1"/>
      <c r="C27" s="13">
        <f t="shared" ref="C27:F27" si="24">C51</f>
        <v>0.1</v>
      </c>
      <c r="D27" s="13">
        <f t="shared" si="24"/>
        <v>0.14</v>
      </c>
      <c r="E27" s="13">
        <f t="shared" si="24"/>
        <v>0.2</v>
      </c>
      <c r="F27" s="13">
        <f t="shared" si="24"/>
        <v>0.22</v>
      </c>
      <c r="G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8">
        <v>160.0</v>
      </c>
      <c r="C28" s="10">
        <f t="shared" ref="C28:F28" si="25">I52</f>
        <v>22400</v>
      </c>
      <c r="D28" s="10">
        <f t="shared" si="25"/>
        <v>21760</v>
      </c>
      <c r="E28" s="10">
        <f t="shared" si="25"/>
        <v>20800</v>
      </c>
      <c r="F28" s="10">
        <f t="shared" si="25"/>
        <v>20480</v>
      </c>
      <c r="G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1"/>
      <c r="C29" s="13">
        <f t="shared" ref="C29:F29" si="26">C52</f>
        <v>0.1</v>
      </c>
      <c r="D29" s="13">
        <f t="shared" si="26"/>
        <v>0.14</v>
      </c>
      <c r="E29" s="13">
        <f t="shared" si="26"/>
        <v>0.2</v>
      </c>
      <c r="F29" s="13">
        <f t="shared" si="26"/>
        <v>0.22</v>
      </c>
      <c r="G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8">
        <v>180.0</v>
      </c>
      <c r="C30" s="10">
        <f t="shared" ref="C30:F30" si="27">I53</f>
        <v>25200</v>
      </c>
      <c r="D30" s="10">
        <f t="shared" si="27"/>
        <v>24480</v>
      </c>
      <c r="E30" s="10">
        <f t="shared" si="27"/>
        <v>23400</v>
      </c>
      <c r="F30" s="10">
        <f t="shared" si="27"/>
        <v>23040</v>
      </c>
      <c r="G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1"/>
      <c r="C31" s="13">
        <f t="shared" ref="C31:F31" si="28">C53</f>
        <v>0.1</v>
      </c>
      <c r="D31" s="13">
        <f t="shared" si="28"/>
        <v>0.14</v>
      </c>
      <c r="E31" s="13">
        <f t="shared" si="28"/>
        <v>0.2</v>
      </c>
      <c r="F31" s="13">
        <f t="shared" si="28"/>
        <v>0.22</v>
      </c>
      <c r="G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8">
        <v>200.0</v>
      </c>
      <c r="C32" s="10">
        <f t="shared" ref="C32:F32" si="29">I54</f>
        <v>28000</v>
      </c>
      <c r="D32" s="10">
        <f t="shared" si="29"/>
        <v>27200</v>
      </c>
      <c r="E32" s="10">
        <f t="shared" si="29"/>
        <v>26000</v>
      </c>
      <c r="F32" s="10">
        <f t="shared" si="29"/>
        <v>25600</v>
      </c>
      <c r="G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1"/>
      <c r="C33" s="1"/>
      <c r="D33" s="13">
        <f t="shared" ref="D33:F33" si="30">D54</f>
        <v>0.14</v>
      </c>
      <c r="E33" s="13">
        <f t="shared" si="30"/>
        <v>0.2</v>
      </c>
      <c r="F33" s="13">
        <f t="shared" si="30"/>
        <v>0.22</v>
      </c>
      <c r="G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D34" s="1"/>
      <c r="E34" s="1"/>
      <c r="F34" s="1"/>
      <c r="G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4" t="s">
        <v>7</v>
      </c>
      <c r="C37" s="4"/>
      <c r="D37" s="4"/>
      <c r="E37" s="4"/>
      <c r="F37" s="4"/>
      <c r="G37" s="4"/>
      <c r="H37" s="4"/>
      <c r="I37" s="4"/>
      <c r="J37" s="4"/>
      <c r="K37" s="4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5" t="s">
        <v>8</v>
      </c>
      <c r="C38" s="16" t="s">
        <v>9</v>
      </c>
      <c r="D38" s="16" t="s">
        <v>10</v>
      </c>
      <c r="E38" s="16" t="s">
        <v>11</v>
      </c>
      <c r="F38" s="16" t="s">
        <v>12</v>
      </c>
      <c r="G38" s="1"/>
      <c r="H38" s="17" t="s">
        <v>0</v>
      </c>
      <c r="I38" s="18" t="s">
        <v>1</v>
      </c>
      <c r="J38" s="4"/>
      <c r="K38" s="4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9" t="s">
        <v>13</v>
      </c>
      <c r="C39" s="20">
        <v>1.0</v>
      </c>
      <c r="D39" s="20">
        <v>2.0</v>
      </c>
      <c r="E39" s="20">
        <v>3.0</v>
      </c>
      <c r="F39" s="20">
        <v>4.0</v>
      </c>
      <c r="G39" s="1"/>
      <c r="H39" s="19" t="s">
        <v>13</v>
      </c>
      <c r="I39" s="21" t="s">
        <v>3</v>
      </c>
      <c r="J39" s="21" t="s">
        <v>4</v>
      </c>
      <c r="K39" s="21" t="s">
        <v>5</v>
      </c>
      <c r="L39" s="21" t="s">
        <v>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2">
        <v>10.0</v>
      </c>
      <c r="C40" s="23">
        <v>0.0</v>
      </c>
      <c r="D40" s="23">
        <v>0.0</v>
      </c>
      <c r="E40" s="23">
        <v>0.06</v>
      </c>
      <c r="F40" s="23">
        <v>0.1</v>
      </c>
      <c r="G40" s="1"/>
      <c r="H40" s="22">
        <v>10.0</v>
      </c>
      <c r="I40" s="24">
        <f t="shared" ref="I40:L40" si="31">$H40*(150-(100*C40))</f>
        <v>1500</v>
      </c>
      <c r="J40" s="24">
        <f t="shared" si="31"/>
        <v>1500</v>
      </c>
      <c r="K40" s="24">
        <f t="shared" si="31"/>
        <v>1440</v>
      </c>
      <c r="L40" s="24">
        <f t="shared" si="31"/>
        <v>1400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2">
        <v>15.0</v>
      </c>
      <c r="C41" s="23">
        <v>0.0</v>
      </c>
      <c r="D41" s="23">
        <v>0.03</v>
      </c>
      <c r="E41" s="23">
        <v>0.08</v>
      </c>
      <c r="F41" s="23">
        <v>0.11</v>
      </c>
      <c r="G41" s="1"/>
      <c r="H41" s="22">
        <v>15.0</v>
      </c>
      <c r="I41" s="24">
        <f t="shared" ref="I41:L41" si="32">$H41*(150-(100*C41))</f>
        <v>2250</v>
      </c>
      <c r="J41" s="24">
        <f t="shared" si="32"/>
        <v>2205</v>
      </c>
      <c r="K41" s="24">
        <f t="shared" si="32"/>
        <v>2130</v>
      </c>
      <c r="L41" s="24">
        <f t="shared" si="32"/>
        <v>2085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2">
        <v>20.0</v>
      </c>
      <c r="C42" s="23">
        <v>0.0</v>
      </c>
      <c r="D42" s="23">
        <v>0.04</v>
      </c>
      <c r="E42" s="23">
        <v>0.1</v>
      </c>
      <c r="F42" s="23">
        <v>0.12</v>
      </c>
      <c r="G42" s="1"/>
      <c r="H42" s="22">
        <v>20.0</v>
      </c>
      <c r="I42" s="24">
        <f t="shared" ref="I42:L42" si="33">$H42*(150-(100*C42))</f>
        <v>3000</v>
      </c>
      <c r="J42" s="24">
        <f t="shared" si="33"/>
        <v>2920</v>
      </c>
      <c r="K42" s="24">
        <f t="shared" si="33"/>
        <v>2800</v>
      </c>
      <c r="L42" s="24">
        <f t="shared" si="33"/>
        <v>2760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2">
        <v>25.0</v>
      </c>
      <c r="C43" s="23">
        <v>0.0</v>
      </c>
      <c r="D43" s="23">
        <v>0.05</v>
      </c>
      <c r="E43" s="23">
        <v>0.12</v>
      </c>
      <c r="F43" s="23">
        <v>0.14</v>
      </c>
      <c r="G43" s="1"/>
      <c r="H43" s="22">
        <v>25.0</v>
      </c>
      <c r="I43" s="24">
        <f t="shared" ref="I43:L43" si="34">$H43*(150-(100*C43))</f>
        <v>3750</v>
      </c>
      <c r="J43" s="24">
        <f t="shared" si="34"/>
        <v>3625</v>
      </c>
      <c r="K43" s="24">
        <f t="shared" si="34"/>
        <v>3450</v>
      </c>
      <c r="L43" s="24">
        <f t="shared" si="34"/>
        <v>3400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2">
        <v>30.0</v>
      </c>
      <c r="C44" s="23">
        <v>0.04</v>
      </c>
      <c r="D44" s="23">
        <v>0.06</v>
      </c>
      <c r="E44" s="23">
        <v>0.14</v>
      </c>
      <c r="F44" s="23">
        <v>0.16</v>
      </c>
      <c r="G44" s="1"/>
      <c r="H44" s="22">
        <v>30.0</v>
      </c>
      <c r="I44" s="24">
        <f t="shared" ref="I44:L44" si="35">$H44*(150-(100*C44))</f>
        <v>4380</v>
      </c>
      <c r="J44" s="24">
        <f t="shared" si="35"/>
        <v>4320</v>
      </c>
      <c r="K44" s="24">
        <f t="shared" si="35"/>
        <v>4080</v>
      </c>
      <c r="L44" s="24">
        <f t="shared" si="35"/>
        <v>4020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2">
        <v>40.0</v>
      </c>
      <c r="C45" s="23">
        <v>0.06</v>
      </c>
      <c r="D45" s="23">
        <v>0.08</v>
      </c>
      <c r="E45" s="23">
        <v>0.16</v>
      </c>
      <c r="F45" s="23">
        <v>0.18</v>
      </c>
      <c r="G45" s="1"/>
      <c r="H45" s="22">
        <v>40.0</v>
      </c>
      <c r="I45" s="24">
        <f t="shared" ref="I45:L45" si="36">$H45*(150-(100*C45))</f>
        <v>5760</v>
      </c>
      <c r="J45" s="24">
        <f t="shared" si="36"/>
        <v>5680</v>
      </c>
      <c r="K45" s="24">
        <f t="shared" si="36"/>
        <v>5360</v>
      </c>
      <c r="L45" s="24">
        <f t="shared" si="36"/>
        <v>5280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2">
        <v>50.0</v>
      </c>
      <c r="C46" s="23">
        <v>0.08</v>
      </c>
      <c r="D46" s="23">
        <v>0.1</v>
      </c>
      <c r="E46" s="23">
        <v>0.2</v>
      </c>
      <c r="F46" s="23">
        <v>0.22</v>
      </c>
      <c r="G46" s="1"/>
      <c r="H46" s="22">
        <v>50.0</v>
      </c>
      <c r="I46" s="24">
        <f t="shared" ref="I46:L46" si="37">$H46*(150-(100*C46))</f>
        <v>7100</v>
      </c>
      <c r="J46" s="24">
        <f t="shared" si="37"/>
        <v>7000</v>
      </c>
      <c r="K46" s="24">
        <f t="shared" si="37"/>
        <v>6500</v>
      </c>
      <c r="L46" s="24">
        <f t="shared" si="37"/>
        <v>6400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2">
        <v>60.0</v>
      </c>
      <c r="C47" s="23">
        <v>0.1</v>
      </c>
      <c r="D47" s="23">
        <v>0.12</v>
      </c>
      <c r="E47" s="23">
        <v>0.2</v>
      </c>
      <c r="F47" s="23">
        <v>0.22</v>
      </c>
      <c r="G47" s="1"/>
      <c r="H47" s="22">
        <v>60.0</v>
      </c>
      <c r="I47" s="24">
        <f t="shared" ref="I47:L47" si="38">$H47*(150-(100*C47))</f>
        <v>8400</v>
      </c>
      <c r="J47" s="24">
        <f t="shared" si="38"/>
        <v>8280</v>
      </c>
      <c r="K47" s="24">
        <f t="shared" si="38"/>
        <v>7800</v>
      </c>
      <c r="L47" s="24">
        <f t="shared" si="38"/>
        <v>7680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2">
        <v>80.0</v>
      </c>
      <c r="C48" s="23">
        <v>0.1</v>
      </c>
      <c r="D48" s="23">
        <v>0.12</v>
      </c>
      <c r="E48" s="23">
        <v>0.2</v>
      </c>
      <c r="F48" s="23">
        <v>0.22</v>
      </c>
      <c r="G48" s="1"/>
      <c r="H48" s="22">
        <v>80.0</v>
      </c>
      <c r="I48" s="24">
        <f t="shared" ref="I48:L48" si="39">$H48*(150-(100*C48))</f>
        <v>11200</v>
      </c>
      <c r="J48" s="24">
        <f t="shared" si="39"/>
        <v>11040</v>
      </c>
      <c r="K48" s="24">
        <f t="shared" si="39"/>
        <v>10400</v>
      </c>
      <c r="L48" s="24">
        <f t="shared" si="39"/>
        <v>10240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2">
        <v>100.0</v>
      </c>
      <c r="C49" s="23">
        <v>0.1</v>
      </c>
      <c r="D49" s="23">
        <v>0.14</v>
      </c>
      <c r="E49" s="23">
        <v>0.2</v>
      </c>
      <c r="F49" s="23">
        <v>0.22</v>
      </c>
      <c r="G49" s="1"/>
      <c r="H49" s="22">
        <v>100.0</v>
      </c>
      <c r="I49" s="24">
        <f t="shared" ref="I49:L49" si="40">$H49*(150-(100*C49))</f>
        <v>14000</v>
      </c>
      <c r="J49" s="24">
        <f t="shared" si="40"/>
        <v>13600</v>
      </c>
      <c r="K49" s="24">
        <f t="shared" si="40"/>
        <v>13000</v>
      </c>
      <c r="L49" s="24">
        <f t="shared" si="40"/>
        <v>12800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2">
        <v>120.0</v>
      </c>
      <c r="C50" s="23">
        <v>0.1</v>
      </c>
      <c r="D50" s="23">
        <v>0.14</v>
      </c>
      <c r="E50" s="23">
        <v>0.2</v>
      </c>
      <c r="F50" s="23">
        <v>0.22</v>
      </c>
      <c r="G50" s="1"/>
      <c r="H50" s="22">
        <v>120.0</v>
      </c>
      <c r="I50" s="24">
        <f t="shared" ref="I50:L50" si="41">$H50*(150-(100*C50))</f>
        <v>16800</v>
      </c>
      <c r="J50" s="24">
        <f t="shared" si="41"/>
        <v>16320</v>
      </c>
      <c r="K50" s="24">
        <f t="shared" si="41"/>
        <v>15600</v>
      </c>
      <c r="L50" s="24">
        <f t="shared" si="41"/>
        <v>15360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2">
        <v>140.0</v>
      </c>
      <c r="C51" s="23">
        <v>0.1</v>
      </c>
      <c r="D51" s="23">
        <v>0.14</v>
      </c>
      <c r="E51" s="23">
        <v>0.2</v>
      </c>
      <c r="F51" s="23">
        <v>0.22</v>
      </c>
      <c r="G51" s="1"/>
      <c r="H51" s="22">
        <v>140.0</v>
      </c>
      <c r="I51" s="24">
        <f t="shared" ref="I51:L51" si="42">$H51*(150-(100*C51))</f>
        <v>19600</v>
      </c>
      <c r="J51" s="24">
        <f t="shared" si="42"/>
        <v>19040</v>
      </c>
      <c r="K51" s="24">
        <f t="shared" si="42"/>
        <v>18200</v>
      </c>
      <c r="L51" s="24">
        <f t="shared" si="42"/>
        <v>17920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2">
        <v>160.0</v>
      </c>
      <c r="C52" s="23">
        <v>0.1</v>
      </c>
      <c r="D52" s="23">
        <v>0.14</v>
      </c>
      <c r="E52" s="23">
        <v>0.2</v>
      </c>
      <c r="F52" s="23">
        <v>0.22</v>
      </c>
      <c r="G52" s="1"/>
      <c r="H52" s="22">
        <v>160.0</v>
      </c>
      <c r="I52" s="24">
        <f t="shared" ref="I52:L52" si="43">$H52*(150-(100*C52))</f>
        <v>22400</v>
      </c>
      <c r="J52" s="24">
        <f t="shared" si="43"/>
        <v>21760</v>
      </c>
      <c r="K52" s="24">
        <f t="shared" si="43"/>
        <v>20800</v>
      </c>
      <c r="L52" s="24">
        <f t="shared" si="43"/>
        <v>20480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2">
        <v>180.0</v>
      </c>
      <c r="C53" s="23">
        <v>0.1</v>
      </c>
      <c r="D53" s="23">
        <v>0.14</v>
      </c>
      <c r="E53" s="23">
        <v>0.2</v>
      </c>
      <c r="F53" s="23">
        <v>0.22</v>
      </c>
      <c r="G53" s="1"/>
      <c r="H53" s="22">
        <v>180.0</v>
      </c>
      <c r="I53" s="24">
        <f t="shared" ref="I53:L53" si="44">$H53*(150-(100*C53))</f>
        <v>25200</v>
      </c>
      <c r="J53" s="24">
        <f t="shared" si="44"/>
        <v>24480</v>
      </c>
      <c r="K53" s="24">
        <f t="shared" si="44"/>
        <v>23400</v>
      </c>
      <c r="L53" s="24">
        <f t="shared" si="44"/>
        <v>23040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2">
        <v>200.0</v>
      </c>
      <c r="C54" s="23">
        <v>0.1</v>
      </c>
      <c r="D54" s="23">
        <v>0.14</v>
      </c>
      <c r="E54" s="23">
        <v>0.2</v>
      </c>
      <c r="F54" s="23">
        <v>0.22</v>
      </c>
      <c r="G54" s="1"/>
      <c r="H54" s="22">
        <v>200.0</v>
      </c>
      <c r="I54" s="24">
        <f t="shared" ref="I54:L54" si="45">$H54*(150-(100*C54))</f>
        <v>28000</v>
      </c>
      <c r="J54" s="24">
        <f t="shared" si="45"/>
        <v>27200</v>
      </c>
      <c r="K54" s="24">
        <f t="shared" si="45"/>
        <v>26000</v>
      </c>
      <c r="L54" s="24">
        <f t="shared" si="45"/>
        <v>25600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18">
    <mergeCell ref="C2:F2"/>
    <mergeCell ref="B4:B5"/>
    <mergeCell ref="B6:B7"/>
    <mergeCell ref="B8:B9"/>
    <mergeCell ref="B10:B11"/>
    <mergeCell ref="B12:B13"/>
    <mergeCell ref="B14:B15"/>
    <mergeCell ref="B30:B31"/>
    <mergeCell ref="B32:B33"/>
    <mergeCell ref="B37:L37"/>
    <mergeCell ref="I38:L38"/>
    <mergeCell ref="B16:B17"/>
    <mergeCell ref="B18:B19"/>
    <mergeCell ref="B20:B21"/>
    <mergeCell ref="B22:B23"/>
    <mergeCell ref="B24:B25"/>
    <mergeCell ref="B26:B27"/>
    <mergeCell ref="B28:B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" width="18.5"/>
  </cols>
  <sheetData>
    <row r="2">
      <c r="B2" s="25" t="s">
        <v>14</v>
      </c>
      <c r="C2" s="4"/>
      <c r="D2" s="4"/>
      <c r="E2" s="5"/>
    </row>
    <row r="3">
      <c r="B3" s="26" t="s">
        <v>0</v>
      </c>
      <c r="C3" s="5"/>
      <c r="D3" s="27" t="s">
        <v>15</v>
      </c>
      <c r="E3" s="5"/>
    </row>
    <row r="4" ht="52.5" customHeight="1">
      <c r="A4" s="28"/>
      <c r="B4" s="29" t="s">
        <v>13</v>
      </c>
      <c r="C4" s="29" t="s">
        <v>16</v>
      </c>
      <c r="D4" s="30" t="s">
        <v>1</v>
      </c>
      <c r="E4" s="30" t="s">
        <v>17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B5" s="31">
        <v>10.0</v>
      </c>
      <c r="C5" s="31">
        <v>60.0</v>
      </c>
      <c r="D5" s="10">
        <f>B5*(150-(100*D6))</f>
        <v>1500</v>
      </c>
      <c r="E5" s="10">
        <f>D5*6</f>
        <v>9000</v>
      </c>
    </row>
    <row r="6">
      <c r="B6" s="11"/>
      <c r="C6" s="11"/>
      <c r="D6" s="32">
        <f>'Monthly Flex'!D40</f>
        <v>0</v>
      </c>
      <c r="E6" s="5"/>
    </row>
    <row r="7">
      <c r="B7" s="8">
        <v>12.5</v>
      </c>
      <c r="C7" s="33">
        <v>75.0</v>
      </c>
      <c r="D7" s="34">
        <f>B7*(150-(100*D8))</f>
        <v>1875</v>
      </c>
      <c r="E7" s="34">
        <f>D7*6</f>
        <v>11250</v>
      </c>
    </row>
    <row r="8">
      <c r="B8" s="11"/>
      <c r="C8" s="11"/>
      <c r="D8" s="35">
        <f>'Monthly Flex'!D40</f>
        <v>0</v>
      </c>
      <c r="E8" s="5"/>
    </row>
    <row r="9">
      <c r="B9" s="31">
        <v>15.0</v>
      </c>
      <c r="C9" s="31">
        <v>90.0</v>
      </c>
      <c r="D9" s="10">
        <f>B9*(150-(100*D10))</f>
        <v>2205</v>
      </c>
      <c r="E9" s="10">
        <f>D9*6</f>
        <v>13230</v>
      </c>
    </row>
    <row r="10">
      <c r="B10" s="11"/>
      <c r="C10" s="11"/>
      <c r="D10" s="32">
        <f>'Monthly Flex'!D41</f>
        <v>0.03</v>
      </c>
      <c r="E10" s="5"/>
    </row>
    <row r="11">
      <c r="B11" s="8">
        <v>17.5</v>
      </c>
      <c r="C11" s="33">
        <v>105.0</v>
      </c>
      <c r="D11" s="34">
        <f>B11*(150-(100*D12))</f>
        <v>2572.5</v>
      </c>
      <c r="E11" s="34">
        <f>D11*6</f>
        <v>15435</v>
      </c>
    </row>
    <row r="12">
      <c r="B12" s="11"/>
      <c r="C12" s="11"/>
      <c r="D12" s="35">
        <f>'Monthly Flex'!D41</f>
        <v>0.03</v>
      </c>
      <c r="E12" s="5"/>
    </row>
    <row r="13">
      <c r="B13" s="31">
        <v>20.0</v>
      </c>
      <c r="C13" s="31">
        <v>120.0</v>
      </c>
      <c r="D13" s="10">
        <f>B13*(150-(100*D14))</f>
        <v>2920</v>
      </c>
      <c r="E13" s="10">
        <f>D13*6</f>
        <v>17520</v>
      </c>
    </row>
    <row r="14">
      <c r="B14" s="11"/>
      <c r="C14" s="11"/>
      <c r="D14" s="32">
        <f>'Monthly Flex'!D42</f>
        <v>0.04</v>
      </c>
      <c r="E14" s="5"/>
    </row>
    <row r="15">
      <c r="B15" s="8">
        <v>22.5</v>
      </c>
      <c r="C15" s="33">
        <v>135.0</v>
      </c>
      <c r="D15" s="34">
        <f>B15*(150-(100*D16))</f>
        <v>3285</v>
      </c>
      <c r="E15" s="34">
        <f>D15*6</f>
        <v>19710</v>
      </c>
    </row>
    <row r="16">
      <c r="B16" s="11"/>
      <c r="C16" s="11"/>
      <c r="D16" s="35">
        <f>'Monthly Flex'!D42</f>
        <v>0.04</v>
      </c>
      <c r="E16" s="5"/>
    </row>
    <row r="17">
      <c r="B17" s="31">
        <v>25.0</v>
      </c>
      <c r="C17" s="31">
        <v>150.0</v>
      </c>
      <c r="D17" s="10">
        <f>B17*(150-(100*D18))</f>
        <v>3625</v>
      </c>
      <c r="E17" s="10">
        <f>D17*6</f>
        <v>21750</v>
      </c>
    </row>
    <row r="18">
      <c r="B18" s="11"/>
      <c r="C18" s="11"/>
      <c r="D18" s="32">
        <f>'Monthly Flex'!D43</f>
        <v>0.05</v>
      </c>
      <c r="E18" s="5"/>
    </row>
    <row r="19">
      <c r="B19" s="8">
        <v>27.5</v>
      </c>
      <c r="C19" s="33">
        <v>165.0</v>
      </c>
      <c r="D19" s="34">
        <f>B19*(150-(100*D20))</f>
        <v>3987.5</v>
      </c>
      <c r="E19" s="34">
        <f>D19*6</f>
        <v>23925</v>
      </c>
    </row>
    <row r="20">
      <c r="B20" s="11"/>
      <c r="C20" s="11"/>
      <c r="D20" s="35">
        <f>'Monthly Flex'!D43</f>
        <v>0.05</v>
      </c>
      <c r="E20" s="5"/>
    </row>
    <row r="21">
      <c r="B21" s="31">
        <v>30.0</v>
      </c>
      <c r="C21" s="31">
        <v>180.0</v>
      </c>
      <c r="D21" s="10">
        <f>B21*(150-(100*D22))</f>
        <v>4320</v>
      </c>
      <c r="E21" s="10">
        <f>D21*6</f>
        <v>25920</v>
      </c>
    </row>
    <row r="22">
      <c r="B22" s="11"/>
      <c r="C22" s="11"/>
      <c r="D22" s="32">
        <f>'Monthly Flex'!D44</f>
        <v>0.06</v>
      </c>
      <c r="E22" s="5"/>
    </row>
    <row r="23">
      <c r="B23" s="8">
        <v>35.0</v>
      </c>
      <c r="C23" s="33">
        <v>210.0</v>
      </c>
      <c r="D23" s="34">
        <f>B23*(150-(100*D24))</f>
        <v>5040</v>
      </c>
      <c r="E23" s="34">
        <f>D23*6</f>
        <v>30240</v>
      </c>
    </row>
    <row r="24">
      <c r="B24" s="11"/>
      <c r="C24" s="11"/>
      <c r="D24" s="35">
        <f>'Monthly Flex'!D44</f>
        <v>0.06</v>
      </c>
      <c r="E24" s="5"/>
    </row>
    <row r="25">
      <c r="B25" s="31">
        <v>40.0</v>
      </c>
      <c r="C25" s="31">
        <v>240.0</v>
      </c>
      <c r="D25" s="10">
        <f>B25*(150-(100*D26))</f>
        <v>5680</v>
      </c>
      <c r="E25" s="10">
        <f>D25*6</f>
        <v>34080</v>
      </c>
    </row>
    <row r="26">
      <c r="B26" s="11"/>
      <c r="C26" s="11"/>
      <c r="D26" s="32">
        <f>'Monthly Flex'!D45</f>
        <v>0.08</v>
      </c>
      <c r="E26" s="5"/>
    </row>
    <row r="27">
      <c r="B27" s="8">
        <v>45.0</v>
      </c>
      <c r="C27" s="33">
        <v>270.0</v>
      </c>
      <c r="D27" s="34">
        <f>B27*(150-(100*D28))</f>
        <v>6390</v>
      </c>
      <c r="E27" s="34">
        <f>D27*6</f>
        <v>38340</v>
      </c>
    </row>
    <row r="28">
      <c r="B28" s="11"/>
      <c r="C28" s="11"/>
      <c r="D28" s="35">
        <f>'Monthly Flex'!D45</f>
        <v>0.08</v>
      </c>
      <c r="E28" s="5"/>
    </row>
    <row r="29">
      <c r="B29" s="31">
        <v>50.0</v>
      </c>
      <c r="C29" s="31">
        <v>300.0</v>
      </c>
      <c r="D29" s="10">
        <f>B29*(150-(100*D30))</f>
        <v>7000</v>
      </c>
      <c r="E29" s="10">
        <f>D29*6</f>
        <v>42000</v>
      </c>
    </row>
    <row r="30">
      <c r="B30" s="11"/>
      <c r="C30" s="11"/>
      <c r="D30" s="32">
        <f>'Monthly Flex'!D46</f>
        <v>0.1</v>
      </c>
      <c r="E30" s="5"/>
    </row>
    <row r="31">
      <c r="B31" s="8">
        <v>55.0</v>
      </c>
      <c r="C31" s="33">
        <v>330.0</v>
      </c>
      <c r="D31" s="34">
        <f>B31*(150-(100*D32))</f>
        <v>7700</v>
      </c>
      <c r="E31" s="34">
        <f>D31*6</f>
        <v>46200</v>
      </c>
    </row>
    <row r="32">
      <c r="B32" s="11"/>
      <c r="C32" s="11"/>
      <c r="D32" s="35">
        <f>'Monthly Flex'!D46</f>
        <v>0.1</v>
      </c>
      <c r="E32" s="5"/>
    </row>
    <row r="33">
      <c r="B33" s="31">
        <v>60.0</v>
      </c>
      <c r="C33" s="31">
        <v>360.0</v>
      </c>
      <c r="D33" s="10">
        <f>B33*(150-(100*D34))</f>
        <v>8280</v>
      </c>
      <c r="E33" s="10">
        <f>D33*6</f>
        <v>49680</v>
      </c>
    </row>
    <row r="34">
      <c r="B34" s="11"/>
      <c r="C34" s="11"/>
      <c r="D34" s="32">
        <f>'Monthly Flex'!D47</f>
        <v>0.12</v>
      </c>
      <c r="E34" s="5"/>
    </row>
    <row r="35">
      <c r="B35" s="8">
        <v>70.0</v>
      </c>
      <c r="C35" s="33">
        <v>420.0</v>
      </c>
      <c r="D35" s="34">
        <f>B35*(150-(100*D36))</f>
        <v>9660</v>
      </c>
      <c r="E35" s="34">
        <f>D35*6</f>
        <v>57960</v>
      </c>
    </row>
    <row r="36">
      <c r="B36" s="11"/>
      <c r="C36" s="11"/>
      <c r="D36" s="35">
        <f>'Monthly Flex'!D47</f>
        <v>0.12</v>
      </c>
      <c r="E36" s="5"/>
    </row>
    <row r="37">
      <c r="B37" s="31">
        <v>80.0</v>
      </c>
      <c r="C37" s="31">
        <v>480.0</v>
      </c>
      <c r="D37" s="10">
        <f>B37*(150-(100*D38))</f>
        <v>11040</v>
      </c>
      <c r="E37" s="10">
        <f>D37*6</f>
        <v>66240</v>
      </c>
    </row>
    <row r="38">
      <c r="B38" s="11"/>
      <c r="C38" s="11"/>
      <c r="D38" s="32">
        <f>'Monthly Flex'!D48</f>
        <v>0.12</v>
      </c>
      <c r="E38" s="5"/>
    </row>
    <row r="39">
      <c r="B39" s="8">
        <v>90.0</v>
      </c>
      <c r="C39" s="33">
        <v>540.0</v>
      </c>
      <c r="D39" s="34">
        <f>B39*(150-(100*D40))</f>
        <v>12420</v>
      </c>
      <c r="E39" s="34">
        <f>D39*6</f>
        <v>74520</v>
      </c>
    </row>
    <row r="40">
      <c r="B40" s="11"/>
      <c r="C40" s="11"/>
      <c r="D40" s="35">
        <f>'Monthly Flex'!D48</f>
        <v>0.12</v>
      </c>
      <c r="E40" s="5"/>
    </row>
    <row r="41">
      <c r="B41" s="31">
        <v>100.0</v>
      </c>
      <c r="C41" s="31">
        <v>600.0</v>
      </c>
      <c r="D41" s="10">
        <f>B41*(150-(100*D42))</f>
        <v>13600</v>
      </c>
      <c r="E41" s="10">
        <f>D41*6</f>
        <v>81600</v>
      </c>
    </row>
    <row r="42">
      <c r="B42" s="11"/>
      <c r="C42" s="11"/>
      <c r="D42" s="32">
        <f>'Monthly Flex'!D49</f>
        <v>0.14</v>
      </c>
      <c r="E42" s="5"/>
    </row>
    <row r="43">
      <c r="B43" s="8">
        <v>110.0</v>
      </c>
      <c r="C43" s="33">
        <v>660.0</v>
      </c>
      <c r="D43" s="34">
        <f>B43*(150-(100*D44))</f>
        <v>14960</v>
      </c>
      <c r="E43" s="34">
        <f>D43*6</f>
        <v>89760</v>
      </c>
    </row>
    <row r="44">
      <c r="B44" s="11"/>
      <c r="C44" s="11"/>
      <c r="D44" s="35">
        <f>'Monthly Flex'!D49</f>
        <v>0.14</v>
      </c>
      <c r="E44" s="5"/>
    </row>
    <row r="45">
      <c r="B45" s="31">
        <v>120.0</v>
      </c>
      <c r="C45" s="31">
        <v>720.0</v>
      </c>
      <c r="D45" s="10">
        <f>B45*(150-(100*D46))</f>
        <v>16320</v>
      </c>
      <c r="E45" s="10">
        <f>D45*6</f>
        <v>97920</v>
      </c>
    </row>
    <row r="46">
      <c r="B46" s="11"/>
      <c r="C46" s="11"/>
      <c r="D46" s="32">
        <f>'Monthly Flex'!D50</f>
        <v>0.14</v>
      </c>
      <c r="E46" s="5"/>
    </row>
    <row r="47">
      <c r="B47" s="8">
        <v>130.0</v>
      </c>
      <c r="C47" s="33">
        <v>780.0</v>
      </c>
      <c r="D47" s="34">
        <f>B47*(150-(100*D48))</f>
        <v>17680</v>
      </c>
      <c r="E47" s="34">
        <f>D47*6</f>
        <v>106080</v>
      </c>
    </row>
    <row r="48">
      <c r="B48" s="11"/>
      <c r="C48" s="11"/>
      <c r="D48" s="35">
        <f>'Monthly Flex'!D50</f>
        <v>0.14</v>
      </c>
      <c r="E48" s="5"/>
    </row>
    <row r="49">
      <c r="B49" s="31">
        <v>140.0</v>
      </c>
      <c r="C49" s="31">
        <v>840.0</v>
      </c>
      <c r="D49" s="10">
        <f>B49*(150-(100*D50))</f>
        <v>19040</v>
      </c>
      <c r="E49" s="10">
        <f>D49*6</f>
        <v>114240</v>
      </c>
    </row>
    <row r="50">
      <c r="B50" s="11"/>
      <c r="C50" s="11"/>
      <c r="D50" s="32">
        <f>'Monthly Flex'!D51</f>
        <v>0.14</v>
      </c>
      <c r="E50" s="5"/>
    </row>
    <row r="51">
      <c r="B51" s="8">
        <v>150.0</v>
      </c>
      <c r="C51" s="33">
        <v>900.0</v>
      </c>
      <c r="D51" s="34">
        <f>B51*(150-(100*D52))</f>
        <v>20400</v>
      </c>
      <c r="E51" s="34">
        <f>D51*6</f>
        <v>122400</v>
      </c>
    </row>
    <row r="52">
      <c r="B52" s="11"/>
      <c r="C52" s="11"/>
      <c r="D52" s="35">
        <f>'Monthly Flex'!D51</f>
        <v>0.14</v>
      </c>
      <c r="E52" s="5"/>
    </row>
    <row r="53">
      <c r="B53" s="31">
        <v>160.0</v>
      </c>
      <c r="C53" s="31">
        <v>960.0</v>
      </c>
      <c r="D53" s="10">
        <f>B53*(150-(100*D54))</f>
        <v>21760</v>
      </c>
      <c r="E53" s="10">
        <f>D53*6</f>
        <v>130560</v>
      </c>
    </row>
    <row r="54">
      <c r="B54" s="11"/>
      <c r="C54" s="11"/>
      <c r="D54" s="32">
        <f>'Monthly Flex'!D52</f>
        <v>0.14</v>
      </c>
      <c r="E54" s="5"/>
    </row>
    <row r="55">
      <c r="B55" s="8">
        <v>170.0</v>
      </c>
      <c r="C55" s="33">
        <v>1020.0</v>
      </c>
      <c r="D55" s="34">
        <f>B55*(150-(100*D56))</f>
        <v>23120</v>
      </c>
      <c r="E55" s="34">
        <f>D55*6</f>
        <v>138720</v>
      </c>
    </row>
    <row r="56">
      <c r="B56" s="11"/>
      <c r="C56" s="11"/>
      <c r="D56" s="35">
        <f>'Monthly Flex'!D52</f>
        <v>0.14</v>
      </c>
      <c r="E56" s="5"/>
    </row>
    <row r="57">
      <c r="B57" s="31">
        <v>180.0</v>
      </c>
      <c r="C57" s="31">
        <v>1080.0</v>
      </c>
      <c r="D57" s="10">
        <f>B57*(150-(100*D58))</f>
        <v>24480</v>
      </c>
      <c r="E57" s="10">
        <f>D57*6</f>
        <v>146880</v>
      </c>
    </row>
    <row r="58">
      <c r="B58" s="11"/>
      <c r="C58" s="11"/>
      <c r="D58" s="32">
        <f>'Monthly Flex'!D53</f>
        <v>0.14</v>
      </c>
      <c r="E58" s="5"/>
    </row>
    <row r="59">
      <c r="B59" s="8">
        <v>190.0</v>
      </c>
      <c r="C59" s="33">
        <v>1140.0</v>
      </c>
      <c r="D59" s="34">
        <f>B59*(150-(100*D60))</f>
        <v>25840</v>
      </c>
      <c r="E59" s="34">
        <f>D59*6</f>
        <v>155040</v>
      </c>
    </row>
    <row r="60">
      <c r="B60" s="11"/>
      <c r="C60" s="11"/>
      <c r="D60" s="35">
        <f>'Monthly Flex'!D53</f>
        <v>0.14</v>
      </c>
      <c r="E60" s="5"/>
    </row>
    <row r="61">
      <c r="B61" s="31">
        <v>200.0</v>
      </c>
      <c r="C61" s="31">
        <v>1200.0</v>
      </c>
      <c r="D61" s="10">
        <f>B61*(150-(100*D62))</f>
        <v>27200</v>
      </c>
      <c r="E61" s="10">
        <f>D61*6</f>
        <v>163200</v>
      </c>
    </row>
    <row r="62">
      <c r="B62" s="11"/>
      <c r="C62" s="11"/>
      <c r="D62" s="32">
        <f>'Monthly Flex'!D54</f>
        <v>0.14</v>
      </c>
      <c r="E62" s="5"/>
    </row>
  </sheetData>
  <mergeCells count="90">
    <mergeCell ref="C25:C26"/>
    <mergeCell ref="D26:E26"/>
    <mergeCell ref="B21:B22"/>
    <mergeCell ref="C21:C22"/>
    <mergeCell ref="D22:E22"/>
    <mergeCell ref="B23:B24"/>
    <mergeCell ref="C23:C24"/>
    <mergeCell ref="D24:E24"/>
    <mergeCell ref="B25:B26"/>
    <mergeCell ref="C31:C32"/>
    <mergeCell ref="D32:E32"/>
    <mergeCell ref="B27:B28"/>
    <mergeCell ref="C27:C28"/>
    <mergeCell ref="D28:E28"/>
    <mergeCell ref="B29:B30"/>
    <mergeCell ref="C29:C30"/>
    <mergeCell ref="D30:E30"/>
    <mergeCell ref="B31:B32"/>
    <mergeCell ref="C37:C38"/>
    <mergeCell ref="D38:E38"/>
    <mergeCell ref="B33:B34"/>
    <mergeCell ref="C33:C34"/>
    <mergeCell ref="D34:E34"/>
    <mergeCell ref="B35:B36"/>
    <mergeCell ref="C35:C36"/>
    <mergeCell ref="D36:E36"/>
    <mergeCell ref="B37:B38"/>
    <mergeCell ref="C43:C44"/>
    <mergeCell ref="D44:E44"/>
    <mergeCell ref="B39:B40"/>
    <mergeCell ref="C39:C40"/>
    <mergeCell ref="D40:E40"/>
    <mergeCell ref="B41:B42"/>
    <mergeCell ref="C41:C42"/>
    <mergeCell ref="D42:E42"/>
    <mergeCell ref="B43:B44"/>
    <mergeCell ref="C49:C50"/>
    <mergeCell ref="D50:E50"/>
    <mergeCell ref="B45:B46"/>
    <mergeCell ref="C45:C46"/>
    <mergeCell ref="D46:E46"/>
    <mergeCell ref="B47:B48"/>
    <mergeCell ref="C47:C48"/>
    <mergeCell ref="D48:E48"/>
    <mergeCell ref="B49:B50"/>
    <mergeCell ref="C55:C56"/>
    <mergeCell ref="D56:E56"/>
    <mergeCell ref="B51:B52"/>
    <mergeCell ref="C51:C52"/>
    <mergeCell ref="D52:E52"/>
    <mergeCell ref="B53:B54"/>
    <mergeCell ref="C53:C54"/>
    <mergeCell ref="D54:E54"/>
    <mergeCell ref="B55:B56"/>
    <mergeCell ref="C7:C8"/>
    <mergeCell ref="D8:E8"/>
    <mergeCell ref="B2:E2"/>
    <mergeCell ref="B3:C3"/>
    <mergeCell ref="D3:E3"/>
    <mergeCell ref="B5:B6"/>
    <mergeCell ref="C5:C6"/>
    <mergeCell ref="D6:E6"/>
    <mergeCell ref="B7:B8"/>
    <mergeCell ref="C13:C14"/>
    <mergeCell ref="D14:E14"/>
    <mergeCell ref="B9:B10"/>
    <mergeCell ref="C9:C10"/>
    <mergeCell ref="D10:E10"/>
    <mergeCell ref="B11:B12"/>
    <mergeCell ref="C11:C12"/>
    <mergeCell ref="D12:E12"/>
    <mergeCell ref="B13:B14"/>
    <mergeCell ref="C19:C20"/>
    <mergeCell ref="D20:E20"/>
    <mergeCell ref="B15:B16"/>
    <mergeCell ref="C15:C16"/>
    <mergeCell ref="D16:E16"/>
    <mergeCell ref="B17:B18"/>
    <mergeCell ref="C17:C18"/>
    <mergeCell ref="D18:E18"/>
    <mergeCell ref="B19:B20"/>
    <mergeCell ref="C61:C62"/>
    <mergeCell ref="D62:E62"/>
    <mergeCell ref="B57:B58"/>
    <mergeCell ref="C57:C58"/>
    <mergeCell ref="D58:E58"/>
    <mergeCell ref="B59:B60"/>
    <mergeCell ref="C59:C60"/>
    <mergeCell ref="D60:E60"/>
    <mergeCell ref="B61:B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4.38"/>
    <col customWidth="1" min="4" max="4" width="37.13"/>
    <col customWidth="1" min="5" max="5" width="47.38"/>
  </cols>
  <sheetData>
    <row r="1">
      <c r="A1" s="36" t="s">
        <v>18</v>
      </c>
      <c r="B1" s="36" t="s">
        <v>19</v>
      </c>
      <c r="C1" s="36" t="s">
        <v>20</v>
      </c>
      <c r="D1" s="36" t="s">
        <v>21</v>
      </c>
      <c r="E1" s="36" t="s">
        <v>22</v>
      </c>
    </row>
    <row r="2">
      <c r="B2" s="36" t="s">
        <v>23</v>
      </c>
    </row>
    <row r="3">
      <c r="B3" s="36" t="s">
        <v>24</v>
      </c>
    </row>
    <row r="4">
      <c r="B4" s="36" t="s">
        <v>25</v>
      </c>
    </row>
    <row r="5">
      <c r="B5" s="36" t="s">
        <v>26</v>
      </c>
    </row>
  </sheetData>
  <drawing r:id="rId1"/>
</worksheet>
</file>